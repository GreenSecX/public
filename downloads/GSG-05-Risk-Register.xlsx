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FF22C55E"/>
      <sz val="18"/>
    </font>
    <font>
      <name val="Arial"/>
      <color rgb="FFB0C4DE"/>
      <sz val="9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FFFFFF"/>
      <sz val="9"/>
    </font>
    <font>
      <name val="Arial"/>
      <color rgb="FF1E293B"/>
      <sz val="9"/>
    </font>
    <font>
      <name val="Arial"/>
      <b val="1"/>
      <color rgb="FF1E293B"/>
      <sz val="9"/>
    </font>
    <font>
      <name val="Arial"/>
      <color rgb="FF64748B"/>
      <sz val="9"/>
    </font>
    <font>
      <name val="Arial"/>
      <b val="1"/>
      <color rgb="FFFFFFFF"/>
      <sz val="12"/>
    </font>
    <font>
      <name val="Arial"/>
      <b val="1"/>
      <color rgb="FF22C55E"/>
      <sz val="14"/>
    </font>
    <font>
      <name val="Arial"/>
      <color rgb="FF22C55E"/>
      <sz val="14"/>
    </font>
    <font>
      <name val="Arial"/>
      <color rgb="FF1E293B"/>
      <sz val="10"/>
    </font>
    <font>
      <name val="Arial"/>
      <b val="1"/>
      <color rgb="FF1E293B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color rgb="FFEF4444"/>
      <sz val="10"/>
    </font>
    <font>
      <name val="Arial"/>
      <color rgb="FFEF4444"/>
      <sz val="10"/>
    </font>
    <font>
      <name val="Arial"/>
      <color rgb="FFF97316"/>
      <sz val="10"/>
    </font>
    <font>
      <name val="Arial"/>
      <b val="1"/>
      <color rgb="FFF59E0B"/>
      <sz val="10"/>
    </font>
    <font>
      <name val="Arial"/>
      <color rgb="FFF59E0B"/>
      <sz val="10"/>
    </font>
    <font>
      <name val="Arial"/>
      <color rgb="FF22C55E"/>
      <sz val="10"/>
    </font>
  </fonts>
  <fills count="11">
    <fill>
      <patternFill/>
    </fill>
    <fill>
      <patternFill patternType="gray125"/>
    </fill>
    <fill>
      <patternFill patternType="solid">
        <fgColor rgb="FF0B1628"/>
      </patternFill>
    </fill>
    <fill>
      <patternFill patternType="solid">
        <fgColor rgb="FF1E3A5F"/>
      </patternFill>
    </fill>
    <fill>
      <patternFill patternType="solid">
        <fgColor rgb="FF0F2040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0B1628"/>
      </left>
      <right style="thin">
        <color rgb="FF0B1628"/>
      </right>
      <top style="thin">
        <color rgb="FF0B1628"/>
      </top>
      <bottom style="thin">
        <color rgb="FF0B162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left" vertical="center" wrapText="1"/>
    </xf>
    <xf numFmtId="0" fontId="10" fillId="2" borderId="3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vertical="center" wrapText="1"/>
    </xf>
    <xf numFmtId="0" fontId="12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vertical="center" wrapText="1"/>
    </xf>
    <xf numFmtId="0" fontId="13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vertical="center" wrapText="1"/>
    </xf>
    <xf numFmtId="0" fontId="14" fillId="3" borderId="2" applyAlignment="1" pivotButton="0" quotePrefix="0" xfId="0">
      <alignment horizontal="left" vertical="center"/>
    </xf>
    <xf numFmtId="0" fontId="15" fillId="3" borderId="2" applyAlignment="1" pivotButton="0" quotePrefix="0" xfId="0">
      <alignment vertical="center" wrapText="1"/>
    </xf>
    <xf numFmtId="0" fontId="16" fillId="7" borderId="2" applyAlignment="1" pivotButton="0" quotePrefix="0" xfId="0">
      <alignment horizontal="left" vertical="center"/>
    </xf>
    <xf numFmtId="0" fontId="17" fillId="7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left" vertical="center"/>
    </xf>
    <xf numFmtId="0" fontId="18" fillId="8" borderId="2" applyAlignment="1" pivotButton="0" quotePrefix="0" xfId="0">
      <alignment vertical="center" wrapText="1"/>
    </xf>
    <xf numFmtId="0" fontId="19" fillId="9" borderId="2" applyAlignment="1" pivotButton="0" quotePrefix="0" xfId="0">
      <alignment horizontal="left" vertical="center"/>
    </xf>
    <xf numFmtId="0" fontId="20" fillId="9" borderId="2" applyAlignment="1" pivotButton="0" quotePrefix="0" xfId="0">
      <alignment vertical="center" wrapText="1"/>
    </xf>
    <xf numFmtId="0" fontId="21" fillId="10" borderId="2" applyAlignment="1" pivotButton="0" quotePrefix="0" xfId="0">
      <alignment horizontal="left" vertical="center"/>
    </xf>
    <xf numFmtId="0" fontId="21" fillId="1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28" customWidth="1" min="11" max="11"/>
  </cols>
  <sheetData>
    <row r="1" ht="44" customHeight="1">
      <c r="A1" s="1" t="inlineStr">
        <is>
          <t>CYBERSECURITY RISK REGISTER</t>
        </is>
      </c>
    </row>
    <row r="2" ht="18" customHeight="1">
      <c r="A2" s="2" t="inlineStr">
        <is>
          <t>Green Security Group  |  paul@greensecuritygroup.com  |  Confidential</t>
        </is>
      </c>
    </row>
    <row r="3" ht="22" customHeight="1">
      <c r="A3" s="3" t="inlineStr">
        <is>
          <t>Company:</t>
        </is>
      </c>
      <c r="D3" s="4" t="inlineStr"/>
      <c r="G3" s="3" t="inlineStr">
        <is>
          <t>Assessment Date:</t>
        </is>
      </c>
      <c r="I3" s="4" t="inlineStr"/>
    </row>
    <row r="4" ht="8" customHeight="1"/>
    <row r="5" ht="36" customHeight="1">
      <c r="A5" s="5" t="inlineStr">
        <is>
          <t>ID</t>
        </is>
      </c>
      <c r="B5" s="5" t="inlineStr">
        <is>
          <t>Risk Description</t>
        </is>
      </c>
      <c r="C5" s="5" t="inlineStr">
        <is>
          <t>Category</t>
        </is>
      </c>
      <c r="D5" s="5" t="inlineStr">
        <is>
          <t>Likelihood
(1-5)</t>
        </is>
      </c>
      <c r="E5" s="5" t="inlineStr">
        <is>
          <t>Impact
(1-5)</t>
        </is>
      </c>
      <c r="F5" s="5" t="inlineStr">
        <is>
          <t>Risk Score
(Auto)</t>
        </is>
      </c>
      <c r="G5" s="5" t="inlineStr">
        <is>
          <t>Risk Level
(Auto)</t>
        </is>
      </c>
      <c r="H5" s="5" t="inlineStr">
        <is>
          <t>Owner</t>
        </is>
      </c>
      <c r="I5" s="5" t="inlineStr">
        <is>
          <t>Status</t>
        </is>
      </c>
      <c r="J5" s="5" t="inlineStr">
        <is>
          <t>Target Date</t>
        </is>
      </c>
      <c r="K5" s="5" t="inlineStr">
        <is>
          <t>Notes</t>
        </is>
      </c>
    </row>
    <row r="6" ht="22" customHeight="1">
      <c r="A6" s="6" t="inlineStr">
        <is>
          <t>R-001</t>
        </is>
      </c>
      <c r="B6" s="6" t="inlineStr">
        <is>
          <t>No multi-factor authentication on email accounts</t>
        </is>
      </c>
      <c r="C6" s="6" t="inlineStr">
        <is>
          <t>Access Control</t>
        </is>
      </c>
      <c r="D6" s="7" t="n">
        <v>4</v>
      </c>
      <c r="E6" s="7" t="n">
        <v>5</v>
      </c>
      <c r="F6" s="8">
        <f>IF(D6="","",D6*E6)</f>
        <v/>
      </c>
      <c r="G6" s="8">
        <f>IF(F6="","",IF(F6&gt;=20,"CRITICAL",IF(F6&gt;=12,"HIGH",IF(F6&gt;=6,"MEDIUM","LOW"))))</f>
        <v/>
      </c>
      <c r="H6" s="6" t="inlineStr">
        <is>
          <t>Unassigned</t>
        </is>
      </c>
      <c r="I6" s="6" t="inlineStr">
        <is>
          <t>Open</t>
        </is>
      </c>
      <c r="J6" s="6" t="inlineStr"/>
      <c r="K6" s="6" t="inlineStr"/>
    </row>
    <row r="7" ht="22" customHeight="1">
      <c r="A7" s="9" t="inlineStr">
        <is>
          <t>R-002</t>
        </is>
      </c>
      <c r="B7" s="9" t="inlineStr">
        <is>
          <t>No formal backup and recovery process</t>
        </is>
      </c>
      <c r="C7" s="9" t="inlineStr">
        <is>
          <t>Data Backup</t>
        </is>
      </c>
      <c r="D7" s="10" t="n">
        <v>4</v>
      </c>
      <c r="E7" s="10" t="n">
        <v>5</v>
      </c>
      <c r="F7" s="11">
        <f>IF(D7="","",D7*E7)</f>
        <v/>
      </c>
      <c r="G7" s="11">
        <f>IF(F7="","",IF(F7&gt;=20,"CRITICAL",IF(F7&gt;=12,"HIGH",IF(F7&gt;=6,"MEDIUM","LOW"))))</f>
        <v/>
      </c>
      <c r="H7" s="9" t="inlineStr">
        <is>
          <t>Unassigned</t>
        </is>
      </c>
      <c r="I7" s="9" t="inlineStr">
        <is>
          <t>Open</t>
        </is>
      </c>
      <c r="J7" s="9" t="inlineStr"/>
      <c r="K7" s="9" t="inlineStr"/>
    </row>
    <row r="8" ht="22" customHeight="1">
      <c r="A8" s="6" t="inlineStr">
        <is>
          <t>R-003</t>
        </is>
      </c>
      <c r="B8" s="6" t="inlineStr">
        <is>
          <t>Staff have not received phishing awareness training</t>
        </is>
      </c>
      <c r="C8" s="6" t="inlineStr">
        <is>
          <t>Email Security</t>
        </is>
      </c>
      <c r="D8" s="7" t="n">
        <v>4</v>
      </c>
      <c r="E8" s="7" t="n">
        <v>4</v>
      </c>
      <c r="F8" s="8">
        <f>IF(D8="","",D8*E8)</f>
        <v/>
      </c>
      <c r="G8" s="8">
        <f>IF(F8="","",IF(F8&gt;=20,"CRITICAL",IF(F8&gt;=12,"HIGH",IF(F8&gt;=6,"MEDIUM","LOW"))))</f>
        <v/>
      </c>
      <c r="H8" s="6" t="inlineStr">
        <is>
          <t>Unassigned</t>
        </is>
      </c>
      <c r="I8" s="6" t="inlineStr">
        <is>
          <t>Open</t>
        </is>
      </c>
      <c r="J8" s="6" t="inlineStr"/>
      <c r="K8" s="6" t="inlineStr"/>
    </row>
    <row r="9" ht="22" customHeight="1">
      <c r="A9" s="9" t="inlineStr">
        <is>
          <t>R-004</t>
        </is>
      </c>
      <c r="B9" s="9" t="inlineStr">
        <is>
          <t>Antivirus not installed on all endpoints</t>
        </is>
      </c>
      <c r="C9" s="9" t="inlineStr">
        <is>
          <t>Endpoint Security</t>
        </is>
      </c>
      <c r="D9" s="10" t="n">
        <v>3</v>
      </c>
      <c r="E9" s="10" t="n">
        <v>4</v>
      </c>
      <c r="F9" s="11">
        <f>IF(D9="","",D9*E9)</f>
        <v/>
      </c>
      <c r="G9" s="11">
        <f>IF(F9="","",IF(F9&gt;=20,"CRITICAL",IF(F9&gt;=12,"HIGH",IF(F9&gt;=6,"MEDIUM","LOW"))))</f>
        <v/>
      </c>
      <c r="H9" s="9" t="inlineStr">
        <is>
          <t>Unassigned</t>
        </is>
      </c>
      <c r="I9" s="9" t="inlineStr">
        <is>
          <t>Open</t>
        </is>
      </c>
      <c r="J9" s="9" t="inlineStr"/>
      <c r="K9" s="9" t="inlineStr"/>
    </row>
    <row r="10" ht="22" customHeight="1">
      <c r="A10" s="6" t="inlineStr">
        <is>
          <t>R-005</t>
        </is>
      </c>
      <c r="B10" s="6" t="inlineStr">
        <is>
          <t>No documented incident response plan</t>
        </is>
      </c>
      <c r="C10" s="6" t="inlineStr">
        <is>
          <t>Compliance</t>
        </is>
      </c>
      <c r="D10" s="7" t="n">
        <v>3</v>
      </c>
      <c r="E10" s="7" t="n">
        <v>5</v>
      </c>
      <c r="F10" s="8">
        <f>IF(D10="","",D10*E10)</f>
        <v/>
      </c>
      <c r="G10" s="8">
        <f>IF(F10="","",IF(F10&gt;=20,"CRITICAL",IF(F10&gt;=12,"HIGH",IF(F10&gt;=6,"MEDIUM","LOW"))))</f>
        <v/>
      </c>
      <c r="H10" s="6" t="inlineStr">
        <is>
          <t>Unassigned</t>
        </is>
      </c>
      <c r="I10" s="6" t="inlineStr">
        <is>
          <t>Open</t>
        </is>
      </c>
      <c r="J10" s="6" t="inlineStr"/>
      <c r="K10" s="6" t="inlineStr"/>
    </row>
    <row r="11" ht="22" customHeight="1">
      <c r="A11" s="9" t="inlineStr">
        <is>
          <t>R-006</t>
        </is>
      </c>
      <c r="B11" s="9" t="inlineStr">
        <is>
          <t>Default passwords on network equipment</t>
        </is>
      </c>
      <c r="C11" s="9" t="inlineStr">
        <is>
          <t>Network Security</t>
        </is>
      </c>
      <c r="D11" s="10" t="n">
        <v>3</v>
      </c>
      <c r="E11" s="10" t="n">
        <v>4</v>
      </c>
      <c r="F11" s="11">
        <f>IF(D11="","",D11*E11)</f>
        <v/>
      </c>
      <c r="G11" s="11">
        <f>IF(F11="","",IF(F11&gt;=20,"CRITICAL",IF(F11&gt;=12,"HIGH",IF(F11&gt;=6,"MEDIUM","LOW"))))</f>
        <v/>
      </c>
      <c r="H11" s="9" t="inlineStr">
        <is>
          <t>Unassigned</t>
        </is>
      </c>
      <c r="I11" s="9" t="inlineStr">
        <is>
          <t>Open</t>
        </is>
      </c>
      <c r="J11" s="9" t="inlineStr"/>
      <c r="K11" s="9" t="inlineStr"/>
    </row>
    <row r="12" ht="22" customHeight="1">
      <c r="A12" s="6" t="inlineStr">
        <is>
          <t>R-007</t>
        </is>
      </c>
      <c r="B12" s="6" t="inlineStr">
        <is>
          <t>No acceptable use policy signed by staff</t>
        </is>
      </c>
      <c r="C12" s="6" t="inlineStr">
        <is>
          <t>Compliance</t>
        </is>
      </c>
      <c r="D12" s="7" t="n">
        <v>2</v>
      </c>
      <c r="E12" s="7" t="n">
        <v>3</v>
      </c>
      <c r="F12" s="8">
        <f>IF(D12="","",D12*E12)</f>
        <v/>
      </c>
      <c r="G12" s="8">
        <f>IF(F12="","",IF(F12&gt;=20,"CRITICAL",IF(F12&gt;=12,"HIGH",IF(F12&gt;=6,"MEDIUM","LOW"))))</f>
        <v/>
      </c>
      <c r="H12" s="6" t="inlineStr">
        <is>
          <t>Unassigned</t>
        </is>
      </c>
      <c r="I12" s="6" t="inlineStr">
        <is>
          <t>Open</t>
        </is>
      </c>
      <c r="J12" s="6" t="inlineStr"/>
      <c r="K12" s="6" t="inlineStr"/>
    </row>
    <row r="13" ht="22" customHeight="1">
      <c r="A13" s="9" t="inlineStr">
        <is>
          <t>R-008</t>
        </is>
      </c>
      <c r="B13" s="9" t="inlineStr">
        <is>
          <t>Guest Wi-Fi not separated from corporate network</t>
        </is>
      </c>
      <c r="C13" s="9" t="inlineStr">
        <is>
          <t>Network Security</t>
        </is>
      </c>
      <c r="D13" s="10" t="n">
        <v>3</v>
      </c>
      <c r="E13" s="10" t="n">
        <v>3</v>
      </c>
      <c r="F13" s="11">
        <f>IF(D13="","",D13*E13)</f>
        <v/>
      </c>
      <c r="G13" s="11">
        <f>IF(F13="","",IF(F13&gt;=20,"CRITICAL",IF(F13&gt;=12,"HIGH",IF(F13&gt;=6,"MEDIUM","LOW"))))</f>
        <v/>
      </c>
      <c r="H13" s="9" t="inlineStr">
        <is>
          <t>Unassigned</t>
        </is>
      </c>
      <c r="I13" s="9" t="inlineStr">
        <is>
          <t>Open</t>
        </is>
      </c>
      <c r="J13" s="9" t="inlineStr"/>
      <c r="K13" s="9" t="inlineStr"/>
    </row>
    <row r="14" ht="22" customHeight="1">
      <c r="A14" s="6" t="inlineStr">
        <is>
          <t>R-009</t>
        </is>
      </c>
      <c r="B14" s="6" t="inlineStr">
        <is>
          <t>No offboarding process to remove access</t>
        </is>
      </c>
      <c r="C14" s="6" t="inlineStr">
        <is>
          <t>Access Control</t>
        </is>
      </c>
      <c r="D14" s="7" t="n">
        <v>3</v>
      </c>
      <c r="E14" s="7" t="n">
        <v>4</v>
      </c>
      <c r="F14" s="8">
        <f>IF(D14="","",D14*E14)</f>
        <v/>
      </c>
      <c r="G14" s="8">
        <f>IF(F14="","",IF(F14&gt;=20,"CRITICAL",IF(F14&gt;=12,"HIGH",IF(F14&gt;=6,"MEDIUM","LOW"))))</f>
        <v/>
      </c>
      <c r="H14" s="6" t="inlineStr">
        <is>
          <t>Unassigned</t>
        </is>
      </c>
      <c r="I14" s="6" t="inlineStr">
        <is>
          <t>Open</t>
        </is>
      </c>
      <c r="J14" s="6" t="inlineStr"/>
      <c r="K14" s="6" t="inlineStr"/>
    </row>
    <row r="15" ht="22" customHeight="1">
      <c r="A15" s="9" t="inlineStr">
        <is>
          <t>R-010</t>
        </is>
      </c>
      <c r="B15" s="9" t="inlineStr">
        <is>
          <t>Sensitive data on unencrypted devices</t>
        </is>
      </c>
      <c r="C15" s="9" t="inlineStr">
        <is>
          <t>Endpoint Security</t>
        </is>
      </c>
      <c r="D15" s="10" t="n">
        <v>3</v>
      </c>
      <c r="E15" s="10" t="n">
        <v>5</v>
      </c>
      <c r="F15" s="11">
        <f>IF(D15="","",D15*E15)</f>
        <v/>
      </c>
      <c r="G15" s="11">
        <f>IF(F15="","",IF(F15&gt;=20,"CRITICAL",IF(F15&gt;=12,"HIGH",IF(F15&gt;=6,"MEDIUM","LOW"))))</f>
        <v/>
      </c>
      <c r="H15" s="9" t="inlineStr">
        <is>
          <t>Unassigned</t>
        </is>
      </c>
      <c r="I15" s="9" t="inlineStr">
        <is>
          <t>Open</t>
        </is>
      </c>
      <c r="J15" s="9" t="inlineStr"/>
      <c r="K15" s="9" t="inlineStr"/>
    </row>
    <row r="16" ht="20" customHeight="1">
      <c r="A16" s="12" t="inlineStr">
        <is>
          <t>R-011</t>
        </is>
      </c>
      <c r="B16" s="6" t="inlineStr"/>
      <c r="C16" s="6" t="inlineStr"/>
      <c r="D16" s="6" t="inlineStr"/>
      <c r="E16" s="6" t="inlineStr"/>
      <c r="F16" s="7">
        <f>IF(D16="","",D16*E16)</f>
        <v/>
      </c>
      <c r="G16" s="7">
        <f>IF(F16="","",IF(F16&gt;=20,"CRITICAL",IF(F16&gt;=12,"HIGH",IF(F16&gt;=6,"MEDIUM","LOW"))))</f>
        <v/>
      </c>
      <c r="H16" s="6" t="inlineStr"/>
      <c r="I16" s="6" t="inlineStr"/>
      <c r="J16" s="6" t="inlineStr"/>
      <c r="K16" s="6" t="inlineStr"/>
    </row>
    <row r="17" ht="20" customHeight="1">
      <c r="A17" s="13" t="inlineStr">
        <is>
          <t>R-012</t>
        </is>
      </c>
      <c r="B17" s="9" t="inlineStr"/>
      <c r="C17" s="9" t="inlineStr"/>
      <c r="D17" s="9" t="inlineStr"/>
      <c r="E17" s="9" t="inlineStr"/>
      <c r="F17" s="10">
        <f>IF(D17="","",D17*E17)</f>
        <v/>
      </c>
      <c r="G17" s="10">
        <f>IF(F17="","",IF(F17&gt;=20,"CRITICAL",IF(F17&gt;=12,"HIGH",IF(F17&gt;=6,"MEDIUM","LOW"))))</f>
        <v/>
      </c>
      <c r="H17" s="9" t="inlineStr"/>
      <c r="I17" s="9" t="inlineStr"/>
      <c r="J17" s="9" t="inlineStr"/>
      <c r="K17" s="9" t="inlineStr"/>
    </row>
    <row r="18" ht="20" customHeight="1">
      <c r="A18" s="12" t="inlineStr">
        <is>
          <t>R-013</t>
        </is>
      </c>
      <c r="B18" s="6" t="inlineStr"/>
      <c r="C18" s="6" t="inlineStr"/>
      <c r="D18" s="6" t="inlineStr"/>
      <c r="E18" s="6" t="inlineStr"/>
      <c r="F18" s="7">
        <f>IF(D18="","",D18*E18)</f>
        <v/>
      </c>
      <c r="G18" s="7">
        <f>IF(F18="","",IF(F18&gt;=20,"CRITICAL",IF(F18&gt;=12,"HIGH",IF(F18&gt;=6,"MEDIUM","LOW"))))</f>
        <v/>
      </c>
      <c r="H18" s="6" t="inlineStr"/>
      <c r="I18" s="6" t="inlineStr"/>
      <c r="J18" s="6" t="inlineStr"/>
      <c r="K18" s="6" t="inlineStr"/>
    </row>
    <row r="19" ht="20" customHeight="1">
      <c r="A19" s="13" t="inlineStr">
        <is>
          <t>R-014</t>
        </is>
      </c>
      <c r="B19" s="9" t="inlineStr"/>
      <c r="C19" s="9" t="inlineStr"/>
      <c r="D19" s="9" t="inlineStr"/>
      <c r="E19" s="9" t="inlineStr"/>
      <c r="F19" s="10">
        <f>IF(D19="","",D19*E19)</f>
        <v/>
      </c>
      <c r="G19" s="10">
        <f>IF(F19="","",IF(F19&gt;=20,"CRITICAL",IF(F19&gt;=12,"HIGH",IF(F19&gt;=6,"MEDIUM","LOW"))))</f>
        <v/>
      </c>
      <c r="H19" s="9" t="inlineStr"/>
      <c r="I19" s="9" t="inlineStr"/>
      <c r="J19" s="9" t="inlineStr"/>
      <c r="K19" s="9" t="inlineStr"/>
    </row>
    <row r="20" ht="20" customHeight="1">
      <c r="A20" s="12" t="inlineStr">
        <is>
          <t>R-015</t>
        </is>
      </c>
      <c r="B20" s="6" t="inlineStr"/>
      <c r="C20" s="6" t="inlineStr"/>
      <c r="D20" s="6" t="inlineStr"/>
      <c r="E20" s="6" t="inlineStr"/>
      <c r="F20" s="7">
        <f>IF(D20="","",D20*E20)</f>
        <v/>
      </c>
      <c r="G20" s="7">
        <f>IF(F20="","",IF(F20&gt;=20,"CRITICAL",IF(F20&gt;=12,"HIGH",IF(F20&gt;=6,"MEDIUM","LOW"))))</f>
        <v/>
      </c>
      <c r="H20" s="6" t="inlineStr"/>
      <c r="I20" s="6" t="inlineStr"/>
      <c r="J20" s="6" t="inlineStr"/>
      <c r="K20" s="6" t="inlineStr"/>
    </row>
    <row r="21" ht="20" customHeight="1">
      <c r="A21" s="13" t="inlineStr">
        <is>
          <t>R-016</t>
        </is>
      </c>
      <c r="B21" s="9" t="inlineStr"/>
      <c r="C21" s="9" t="inlineStr"/>
      <c r="D21" s="9" t="inlineStr"/>
      <c r="E21" s="9" t="inlineStr"/>
      <c r="F21" s="10">
        <f>IF(D21="","",D21*E21)</f>
        <v/>
      </c>
      <c r="G21" s="10">
        <f>IF(F21="","",IF(F21&gt;=20,"CRITICAL",IF(F21&gt;=12,"HIGH",IF(F21&gt;=6,"MEDIUM","LOW"))))</f>
        <v/>
      </c>
      <c r="H21" s="9" t="inlineStr"/>
      <c r="I21" s="9" t="inlineStr"/>
      <c r="J21" s="9" t="inlineStr"/>
      <c r="K21" s="9" t="inlineStr"/>
    </row>
    <row r="22" ht="20" customHeight="1">
      <c r="A22" s="12" t="inlineStr">
        <is>
          <t>R-017</t>
        </is>
      </c>
      <c r="B22" s="6" t="inlineStr"/>
      <c r="C22" s="6" t="inlineStr"/>
      <c r="D22" s="6" t="inlineStr"/>
      <c r="E22" s="6" t="inlineStr"/>
      <c r="F22" s="7">
        <f>IF(D22="","",D22*E22)</f>
        <v/>
      </c>
      <c r="G22" s="7">
        <f>IF(F22="","",IF(F22&gt;=20,"CRITICAL",IF(F22&gt;=12,"HIGH",IF(F22&gt;=6,"MEDIUM","LOW"))))</f>
        <v/>
      </c>
      <c r="H22" s="6" t="inlineStr"/>
      <c r="I22" s="6" t="inlineStr"/>
      <c r="J22" s="6" t="inlineStr"/>
      <c r="K22" s="6" t="inlineStr"/>
    </row>
    <row r="23" ht="20" customHeight="1">
      <c r="A23" s="13" t="inlineStr">
        <is>
          <t>R-018</t>
        </is>
      </c>
      <c r="B23" s="9" t="inlineStr"/>
      <c r="C23" s="9" t="inlineStr"/>
      <c r="D23" s="9" t="inlineStr"/>
      <c r="E23" s="9" t="inlineStr"/>
      <c r="F23" s="10">
        <f>IF(D23="","",D23*E23)</f>
        <v/>
      </c>
      <c r="G23" s="10">
        <f>IF(F23="","",IF(F23&gt;=20,"CRITICAL",IF(F23&gt;=12,"HIGH",IF(F23&gt;=6,"MEDIUM","LOW"))))</f>
        <v/>
      </c>
      <c r="H23" s="9" t="inlineStr"/>
      <c r="I23" s="9" t="inlineStr"/>
      <c r="J23" s="9" t="inlineStr"/>
      <c r="K23" s="9" t="inlineStr"/>
    </row>
    <row r="24" ht="20" customHeight="1">
      <c r="A24" s="12" t="inlineStr">
        <is>
          <t>R-019</t>
        </is>
      </c>
      <c r="B24" s="6" t="inlineStr"/>
      <c r="C24" s="6" t="inlineStr"/>
      <c r="D24" s="6" t="inlineStr"/>
      <c r="E24" s="6" t="inlineStr"/>
      <c r="F24" s="7">
        <f>IF(D24="","",D24*E24)</f>
        <v/>
      </c>
      <c r="G24" s="7">
        <f>IF(F24="","",IF(F24&gt;=20,"CRITICAL",IF(F24&gt;=12,"HIGH",IF(F24&gt;=6,"MEDIUM","LOW"))))</f>
        <v/>
      </c>
      <c r="H24" s="6" t="inlineStr"/>
      <c r="I24" s="6" t="inlineStr"/>
      <c r="J24" s="6" t="inlineStr"/>
      <c r="K24" s="6" t="inlineStr"/>
    </row>
    <row r="25" ht="20" customHeight="1">
      <c r="A25" s="13" t="inlineStr">
        <is>
          <t>R-020</t>
        </is>
      </c>
      <c r="B25" s="9" t="inlineStr"/>
      <c r="C25" s="9" t="inlineStr"/>
      <c r="D25" s="9" t="inlineStr"/>
      <c r="E25" s="9" t="inlineStr"/>
      <c r="F25" s="10">
        <f>IF(D25="","",D25*E25)</f>
        <v/>
      </c>
      <c r="G25" s="10">
        <f>IF(F25="","",IF(F25&gt;=20,"CRITICAL",IF(F25&gt;=12,"HIGH",IF(F25&gt;=6,"MEDIUM","LOW"))))</f>
        <v/>
      </c>
      <c r="H25" s="9" t="inlineStr"/>
      <c r="I25" s="9" t="inlineStr"/>
      <c r="J25" s="9" t="inlineStr"/>
      <c r="K25" s="9" t="inlineStr"/>
    </row>
    <row r="26" ht="20" customHeight="1">
      <c r="A26" s="12" t="inlineStr">
        <is>
          <t>R-021</t>
        </is>
      </c>
      <c r="B26" s="6" t="inlineStr"/>
      <c r="C26" s="6" t="inlineStr"/>
      <c r="D26" s="6" t="inlineStr"/>
      <c r="E26" s="6" t="inlineStr"/>
      <c r="F26" s="7">
        <f>IF(D26="","",D26*E26)</f>
        <v/>
      </c>
      <c r="G26" s="7">
        <f>IF(F26="","",IF(F26&gt;=20,"CRITICAL",IF(F26&gt;=12,"HIGH",IF(F26&gt;=6,"MEDIUM","LOW"))))</f>
        <v/>
      </c>
      <c r="H26" s="6" t="inlineStr"/>
      <c r="I26" s="6" t="inlineStr"/>
      <c r="J26" s="6" t="inlineStr"/>
      <c r="K26" s="6" t="inlineStr"/>
    </row>
    <row r="27" ht="20" customHeight="1">
      <c r="A27" s="13" t="inlineStr">
        <is>
          <t>R-022</t>
        </is>
      </c>
      <c r="B27" s="9" t="inlineStr"/>
      <c r="C27" s="9" t="inlineStr"/>
      <c r="D27" s="9" t="inlineStr"/>
      <c r="E27" s="9" t="inlineStr"/>
      <c r="F27" s="10">
        <f>IF(D27="","",D27*E27)</f>
        <v/>
      </c>
      <c r="G27" s="10">
        <f>IF(F27="","",IF(F27&gt;=20,"CRITICAL",IF(F27&gt;=12,"HIGH",IF(F27&gt;=6,"MEDIUM","LOW"))))</f>
        <v/>
      </c>
      <c r="H27" s="9" t="inlineStr"/>
      <c r="I27" s="9" t="inlineStr"/>
      <c r="J27" s="9" t="inlineStr"/>
      <c r="K27" s="9" t="inlineStr"/>
    </row>
    <row r="28" ht="20" customHeight="1">
      <c r="A28" s="12" t="inlineStr">
        <is>
          <t>R-023</t>
        </is>
      </c>
      <c r="B28" s="6" t="inlineStr"/>
      <c r="C28" s="6" t="inlineStr"/>
      <c r="D28" s="6" t="inlineStr"/>
      <c r="E28" s="6" t="inlineStr"/>
      <c r="F28" s="7">
        <f>IF(D28="","",D28*E28)</f>
        <v/>
      </c>
      <c r="G28" s="7">
        <f>IF(F28="","",IF(F28&gt;=20,"CRITICAL",IF(F28&gt;=12,"HIGH",IF(F28&gt;=6,"MEDIUM","LOW"))))</f>
        <v/>
      </c>
      <c r="H28" s="6" t="inlineStr"/>
      <c r="I28" s="6" t="inlineStr"/>
      <c r="J28" s="6" t="inlineStr"/>
      <c r="K28" s="6" t="inlineStr"/>
    </row>
    <row r="29" ht="20" customHeight="1">
      <c r="A29" s="13" t="inlineStr">
        <is>
          <t>R-024</t>
        </is>
      </c>
      <c r="B29" s="9" t="inlineStr"/>
      <c r="C29" s="9" t="inlineStr"/>
      <c r="D29" s="9" t="inlineStr"/>
      <c r="E29" s="9" t="inlineStr"/>
      <c r="F29" s="10">
        <f>IF(D29="","",D29*E29)</f>
        <v/>
      </c>
      <c r="G29" s="10">
        <f>IF(F29="","",IF(F29&gt;=20,"CRITICAL",IF(F29&gt;=12,"HIGH",IF(F29&gt;=6,"MEDIUM","LOW"))))</f>
        <v/>
      </c>
      <c r="H29" s="9" t="inlineStr"/>
      <c r="I29" s="9" t="inlineStr"/>
      <c r="J29" s="9" t="inlineStr"/>
      <c r="K29" s="9" t="inlineStr"/>
    </row>
    <row r="30" ht="20" customHeight="1">
      <c r="A30" s="12" t="inlineStr">
        <is>
          <t>R-025</t>
        </is>
      </c>
      <c r="B30" s="6" t="inlineStr"/>
      <c r="C30" s="6" t="inlineStr"/>
      <c r="D30" s="6" t="inlineStr"/>
      <c r="E30" s="6" t="inlineStr"/>
      <c r="F30" s="7">
        <f>IF(D30="","",D30*E30)</f>
        <v/>
      </c>
      <c r="G30" s="7">
        <f>IF(F30="","",IF(F30&gt;=20,"CRITICAL",IF(F30&gt;=12,"HIGH",IF(F30&gt;=6,"MEDIUM","LOW"))))</f>
        <v/>
      </c>
      <c r="H30" s="6" t="inlineStr"/>
      <c r="I30" s="6" t="inlineStr"/>
      <c r="J30" s="6" t="inlineStr"/>
      <c r="K30" s="6" t="inlineStr"/>
    </row>
    <row r="31" ht="20" customHeight="1">
      <c r="A31" s="13" t="inlineStr">
        <is>
          <t>R-026</t>
        </is>
      </c>
      <c r="B31" s="9" t="inlineStr"/>
      <c r="C31" s="9" t="inlineStr"/>
      <c r="D31" s="9" t="inlineStr"/>
      <c r="E31" s="9" t="inlineStr"/>
      <c r="F31" s="10">
        <f>IF(D31="","",D31*E31)</f>
        <v/>
      </c>
      <c r="G31" s="10">
        <f>IF(F31="","",IF(F31&gt;=20,"CRITICAL",IF(F31&gt;=12,"HIGH",IF(F31&gt;=6,"MEDIUM","LOW"))))</f>
        <v/>
      </c>
      <c r="H31" s="9" t="inlineStr"/>
      <c r="I31" s="9" t="inlineStr"/>
      <c r="J31" s="9" t="inlineStr"/>
      <c r="K31" s="9" t="inlineStr"/>
    </row>
    <row r="32" ht="20" customHeight="1">
      <c r="A32" s="12" t="inlineStr">
        <is>
          <t>R-027</t>
        </is>
      </c>
      <c r="B32" s="6" t="inlineStr"/>
      <c r="C32" s="6" t="inlineStr"/>
      <c r="D32" s="6" t="inlineStr"/>
      <c r="E32" s="6" t="inlineStr"/>
      <c r="F32" s="7">
        <f>IF(D32="","",D32*E32)</f>
        <v/>
      </c>
      <c r="G32" s="7">
        <f>IF(F32="","",IF(F32&gt;=20,"CRITICAL",IF(F32&gt;=12,"HIGH",IF(F32&gt;=6,"MEDIUM","LOW"))))</f>
        <v/>
      </c>
      <c r="H32" s="6" t="inlineStr"/>
      <c r="I32" s="6" t="inlineStr"/>
      <c r="J32" s="6" t="inlineStr"/>
      <c r="K32" s="6" t="inlineStr"/>
    </row>
    <row r="33" ht="20" customHeight="1">
      <c r="A33" s="13" t="inlineStr">
        <is>
          <t>R-028</t>
        </is>
      </c>
      <c r="B33" s="9" t="inlineStr"/>
      <c r="C33" s="9" t="inlineStr"/>
      <c r="D33" s="9" t="inlineStr"/>
      <c r="E33" s="9" t="inlineStr"/>
      <c r="F33" s="10">
        <f>IF(D33="","",D33*E33)</f>
        <v/>
      </c>
      <c r="G33" s="10">
        <f>IF(F33="","",IF(F33&gt;=20,"CRITICAL",IF(F33&gt;=12,"HIGH",IF(F33&gt;=6,"MEDIUM","LOW"))))</f>
        <v/>
      </c>
      <c r="H33" s="9" t="inlineStr"/>
      <c r="I33" s="9" t="inlineStr"/>
      <c r="J33" s="9" t="inlineStr"/>
      <c r="K33" s="9" t="inlineStr"/>
    </row>
    <row r="34" ht="20" customHeight="1">
      <c r="A34" s="12" t="inlineStr">
        <is>
          <t>R-029</t>
        </is>
      </c>
      <c r="B34" s="6" t="inlineStr"/>
      <c r="C34" s="6" t="inlineStr"/>
      <c r="D34" s="6" t="inlineStr"/>
      <c r="E34" s="6" t="inlineStr"/>
      <c r="F34" s="7">
        <f>IF(D34="","",D34*E34)</f>
        <v/>
      </c>
      <c r="G34" s="7">
        <f>IF(F34="","",IF(F34&gt;=20,"CRITICAL",IF(F34&gt;=12,"HIGH",IF(F34&gt;=6,"MEDIUM","LOW"))))</f>
        <v/>
      </c>
      <c r="H34" s="6" t="inlineStr"/>
      <c r="I34" s="6" t="inlineStr"/>
      <c r="J34" s="6" t="inlineStr"/>
      <c r="K34" s="6" t="inlineStr"/>
    </row>
    <row r="35" ht="20" customHeight="1">
      <c r="A35" s="13" t="inlineStr">
        <is>
          <t>R-030</t>
        </is>
      </c>
      <c r="B35" s="9" t="inlineStr"/>
      <c r="C35" s="9" t="inlineStr"/>
      <c r="D35" s="9" t="inlineStr"/>
      <c r="E35" s="9" t="inlineStr"/>
      <c r="F35" s="10">
        <f>IF(D35="","",D35*E35)</f>
        <v/>
      </c>
      <c r="G35" s="10">
        <f>IF(F35="","",IF(F35&gt;=20,"CRITICAL",IF(F35&gt;=12,"HIGH",IF(F35&gt;=6,"MEDIUM","LOW"))))</f>
        <v/>
      </c>
      <c r="H35" s="9" t="inlineStr"/>
      <c r="I35" s="9" t="inlineStr"/>
      <c r="J35" s="9" t="inlineStr"/>
      <c r="K35" s="9" t="inlineStr"/>
    </row>
    <row r="36" ht="20" customHeight="1">
      <c r="A36" s="12" t="inlineStr">
        <is>
          <t>R-031</t>
        </is>
      </c>
      <c r="B36" s="6" t="inlineStr"/>
      <c r="C36" s="6" t="inlineStr"/>
      <c r="D36" s="6" t="inlineStr"/>
      <c r="E36" s="6" t="inlineStr"/>
      <c r="F36" s="7">
        <f>IF(D36="","",D36*E36)</f>
        <v/>
      </c>
      <c r="G36" s="7">
        <f>IF(F36="","",IF(F36&gt;=20,"CRITICAL",IF(F36&gt;=12,"HIGH",IF(F36&gt;=6,"MEDIUM","LOW"))))</f>
        <v/>
      </c>
      <c r="H36" s="6" t="inlineStr"/>
      <c r="I36" s="6" t="inlineStr"/>
      <c r="J36" s="6" t="inlineStr"/>
      <c r="K36" s="6" t="inlineStr"/>
    </row>
    <row r="37" ht="20" customHeight="1">
      <c r="A37" s="13" t="inlineStr">
        <is>
          <t>R-032</t>
        </is>
      </c>
      <c r="B37" s="9" t="inlineStr"/>
      <c r="C37" s="9" t="inlineStr"/>
      <c r="D37" s="9" t="inlineStr"/>
      <c r="E37" s="9" t="inlineStr"/>
      <c r="F37" s="10">
        <f>IF(D37="","",D37*E37)</f>
        <v/>
      </c>
      <c r="G37" s="10">
        <f>IF(F37="","",IF(F37&gt;=20,"CRITICAL",IF(F37&gt;=12,"HIGH",IF(F37&gt;=6,"MEDIUM","LOW"))))</f>
        <v/>
      </c>
      <c r="H37" s="9" t="inlineStr"/>
      <c r="I37" s="9" t="inlineStr"/>
      <c r="J37" s="9" t="inlineStr"/>
      <c r="K37" s="9" t="inlineStr"/>
    </row>
    <row r="38" ht="20" customHeight="1">
      <c r="A38" s="12" t="inlineStr">
        <is>
          <t>R-033</t>
        </is>
      </c>
      <c r="B38" s="6" t="inlineStr"/>
      <c r="C38" s="6" t="inlineStr"/>
      <c r="D38" s="6" t="inlineStr"/>
      <c r="E38" s="6" t="inlineStr"/>
      <c r="F38" s="7">
        <f>IF(D38="","",D38*E38)</f>
        <v/>
      </c>
      <c r="G38" s="7">
        <f>IF(F38="","",IF(F38&gt;=20,"CRITICAL",IF(F38&gt;=12,"HIGH",IF(F38&gt;=6,"MEDIUM","LOW"))))</f>
        <v/>
      </c>
      <c r="H38" s="6" t="inlineStr"/>
      <c r="I38" s="6" t="inlineStr"/>
      <c r="J38" s="6" t="inlineStr"/>
      <c r="K38" s="6" t="inlineStr"/>
    </row>
    <row r="39" ht="20" customHeight="1">
      <c r="A39" s="13" t="inlineStr">
        <is>
          <t>R-034</t>
        </is>
      </c>
      <c r="B39" s="9" t="inlineStr"/>
      <c r="C39" s="9" t="inlineStr"/>
      <c r="D39" s="9" t="inlineStr"/>
      <c r="E39" s="9" t="inlineStr"/>
      <c r="F39" s="10">
        <f>IF(D39="","",D39*E39)</f>
        <v/>
      </c>
      <c r="G39" s="10">
        <f>IF(F39="","",IF(F39&gt;=20,"CRITICAL",IF(F39&gt;=12,"HIGH",IF(F39&gt;=6,"MEDIUM","LOW"))))</f>
        <v/>
      </c>
      <c r="H39" s="9" t="inlineStr"/>
      <c r="I39" s="9" t="inlineStr"/>
      <c r="J39" s="9" t="inlineStr"/>
      <c r="K39" s="9" t="inlineStr"/>
    </row>
    <row r="40" ht="20" customHeight="1">
      <c r="A40" s="12" t="inlineStr">
        <is>
          <t>R-035</t>
        </is>
      </c>
      <c r="B40" s="6" t="inlineStr"/>
      <c r="C40" s="6" t="inlineStr"/>
      <c r="D40" s="6" t="inlineStr"/>
      <c r="E40" s="6" t="inlineStr"/>
      <c r="F40" s="7">
        <f>IF(D40="","",D40*E40)</f>
        <v/>
      </c>
      <c r="G40" s="7">
        <f>IF(F40="","",IF(F40&gt;=20,"CRITICAL",IF(F40&gt;=12,"HIGH",IF(F40&gt;=6,"MEDIUM","LOW"))))</f>
        <v/>
      </c>
      <c r="H40" s="6" t="inlineStr"/>
      <c r="I40" s="6" t="inlineStr"/>
      <c r="J40" s="6" t="inlineStr"/>
      <c r="K40" s="6" t="inlineStr"/>
    </row>
    <row r="41" ht="20" customHeight="1">
      <c r="A41" s="13" t="inlineStr">
        <is>
          <t>R-036</t>
        </is>
      </c>
      <c r="B41" s="9" t="inlineStr"/>
      <c r="C41" s="9" t="inlineStr"/>
      <c r="D41" s="9" t="inlineStr"/>
      <c r="E41" s="9" t="inlineStr"/>
      <c r="F41" s="10">
        <f>IF(D41="","",D41*E41)</f>
        <v/>
      </c>
      <c r="G41" s="10">
        <f>IF(F41="","",IF(F41&gt;=20,"CRITICAL",IF(F41&gt;=12,"HIGH",IF(F41&gt;=6,"MEDIUM","LOW"))))</f>
        <v/>
      </c>
      <c r="H41" s="9" t="inlineStr"/>
      <c r="I41" s="9" t="inlineStr"/>
      <c r="J41" s="9" t="inlineStr"/>
      <c r="K41" s="9" t="inlineStr"/>
    </row>
    <row r="42" ht="20" customHeight="1">
      <c r="A42" s="12" t="inlineStr">
        <is>
          <t>R-037</t>
        </is>
      </c>
      <c r="B42" s="6" t="inlineStr"/>
      <c r="C42" s="6" t="inlineStr"/>
      <c r="D42" s="6" t="inlineStr"/>
      <c r="E42" s="6" t="inlineStr"/>
      <c r="F42" s="7">
        <f>IF(D42="","",D42*E42)</f>
        <v/>
      </c>
      <c r="G42" s="7">
        <f>IF(F42="","",IF(F42&gt;=20,"CRITICAL",IF(F42&gt;=12,"HIGH",IF(F42&gt;=6,"MEDIUM","LOW"))))</f>
        <v/>
      </c>
      <c r="H42" s="6" t="inlineStr"/>
      <c r="I42" s="6" t="inlineStr"/>
      <c r="J42" s="6" t="inlineStr"/>
      <c r="K42" s="6" t="inlineStr"/>
    </row>
    <row r="43" ht="20" customHeight="1">
      <c r="A43" s="13" t="inlineStr">
        <is>
          <t>R-038</t>
        </is>
      </c>
      <c r="B43" s="9" t="inlineStr"/>
      <c r="C43" s="9" t="inlineStr"/>
      <c r="D43" s="9" t="inlineStr"/>
      <c r="E43" s="9" t="inlineStr"/>
      <c r="F43" s="10">
        <f>IF(D43="","",D43*E43)</f>
        <v/>
      </c>
      <c r="G43" s="10">
        <f>IF(F43="","",IF(F43&gt;=20,"CRITICAL",IF(F43&gt;=12,"HIGH",IF(F43&gt;=6,"MEDIUM","LOW"))))</f>
        <v/>
      </c>
      <c r="H43" s="9" t="inlineStr"/>
      <c r="I43" s="9" t="inlineStr"/>
      <c r="J43" s="9" t="inlineStr"/>
      <c r="K43" s="9" t="inlineStr"/>
    </row>
    <row r="44" ht="20" customHeight="1">
      <c r="A44" s="12" t="inlineStr">
        <is>
          <t>R-039</t>
        </is>
      </c>
      <c r="B44" s="6" t="inlineStr"/>
      <c r="C44" s="6" t="inlineStr"/>
      <c r="D44" s="6" t="inlineStr"/>
      <c r="E44" s="6" t="inlineStr"/>
      <c r="F44" s="7">
        <f>IF(D44="","",D44*E44)</f>
        <v/>
      </c>
      <c r="G44" s="7">
        <f>IF(F44="","",IF(F44&gt;=20,"CRITICAL",IF(F44&gt;=12,"HIGH",IF(F44&gt;=6,"MEDIUM","LOW"))))</f>
        <v/>
      </c>
      <c r="H44" s="6" t="inlineStr"/>
      <c r="I44" s="6" t="inlineStr"/>
      <c r="J44" s="6" t="inlineStr"/>
      <c r="K44" s="6" t="inlineStr"/>
    </row>
    <row r="45" ht="20" customHeight="1">
      <c r="A45" s="13" t="inlineStr">
        <is>
          <t>R-040</t>
        </is>
      </c>
      <c r="B45" s="9" t="inlineStr"/>
      <c r="C45" s="9" t="inlineStr"/>
      <c r="D45" s="9" t="inlineStr"/>
      <c r="E45" s="9" t="inlineStr"/>
      <c r="F45" s="10">
        <f>IF(D45="","",D45*E45)</f>
        <v/>
      </c>
      <c r="G45" s="10">
        <f>IF(F45="","",IF(F45&gt;=20,"CRITICAL",IF(F45&gt;=12,"HIGH",IF(F45&gt;=6,"MEDIUM","LOW"))))</f>
        <v/>
      </c>
      <c r="H45" s="9" t="inlineStr"/>
      <c r="I45" s="9" t="inlineStr"/>
      <c r="J45" s="9" t="inlineStr"/>
      <c r="K45" s="9" t="inlineStr"/>
    </row>
    <row r="47" ht="10" customHeight="1"/>
    <row r="48" ht="28" customHeight="1">
      <c r="A48" s="14" t="inlineStr">
        <is>
          <t>RISK SUMMARY DASHBOARD</t>
        </is>
      </c>
    </row>
    <row r="49" ht="24" customHeight="1">
      <c r="A49" s="15" t="inlineStr">
        <is>
          <t>Total Risks Identified</t>
        </is>
      </c>
      <c r="H49" s="16">
        <f>COUNTA(B6:B45)</f>
        <v/>
      </c>
    </row>
    <row r="50" ht="24" customHeight="1">
      <c r="A50" s="15" t="inlineStr">
        <is>
          <t>Critical Risks (Score 20-25)</t>
        </is>
      </c>
      <c r="H50" s="16">
        <f>COUNTIF(G6:G45,"CRITICAL")</f>
        <v/>
      </c>
    </row>
    <row r="51" ht="24" customHeight="1">
      <c r="A51" s="15" t="inlineStr">
        <is>
          <t>High Risks (Score 12-19)</t>
        </is>
      </c>
      <c r="H51" s="16">
        <f>COUNTIF(G6:G45,"HIGH")</f>
        <v/>
      </c>
    </row>
    <row r="52" ht="24" customHeight="1">
      <c r="A52" s="15" t="inlineStr">
        <is>
          <t>Medium Risks (Score 6-11)</t>
        </is>
      </c>
      <c r="H52" s="16">
        <f>COUNTIF(G6:G45,"MEDIUM")</f>
        <v/>
      </c>
    </row>
    <row r="53" ht="24" customHeight="1">
      <c r="A53" s="15" t="inlineStr">
        <is>
          <t>Low Risks (Score 1-5)</t>
        </is>
      </c>
      <c r="H53" s="16">
        <f>COUNTIF(G6:G45,"LOW")</f>
        <v/>
      </c>
    </row>
    <row r="54" ht="24" customHeight="1">
      <c r="A54" s="15" t="inlineStr">
        <is>
          <t>Open Items</t>
        </is>
      </c>
      <c r="H54" s="16">
        <f>COUNTIF(I6:I45,"Open")</f>
        <v/>
      </c>
    </row>
    <row r="55" ht="24" customHeight="1">
      <c r="A55" s="15" t="inlineStr">
        <is>
          <t>In Progress Items</t>
        </is>
      </c>
      <c r="H55" s="16">
        <f>COUNTIF(I6:I45,"In Progress")</f>
        <v/>
      </c>
    </row>
    <row r="56" ht="24" customHeight="1">
      <c r="A56" s="15" t="inlineStr">
        <is>
          <t>Closed Items</t>
        </is>
      </c>
      <c r="H56" s="16">
        <f>COUNTIF(I6:I45,"Closed")</f>
        <v/>
      </c>
    </row>
  </sheetData>
  <mergeCells count="23">
    <mergeCell ref="A48:K48"/>
    <mergeCell ref="A53:G53"/>
    <mergeCell ref="A3:C3"/>
    <mergeCell ref="A52:G52"/>
    <mergeCell ref="I3:K3"/>
    <mergeCell ref="A1:K1"/>
    <mergeCell ref="H53:K53"/>
    <mergeCell ref="D3:F3"/>
    <mergeCell ref="H54:K54"/>
    <mergeCell ref="A51:G51"/>
    <mergeCell ref="A49:G49"/>
    <mergeCell ref="G3:H3"/>
    <mergeCell ref="H55:K55"/>
    <mergeCell ref="H50:K50"/>
    <mergeCell ref="H56:K56"/>
    <mergeCell ref="A2:K2"/>
    <mergeCell ref="A54:G54"/>
    <mergeCell ref="H51:K51"/>
    <mergeCell ref="H49:K49"/>
    <mergeCell ref="H52:K52"/>
    <mergeCell ref="A56:G56"/>
    <mergeCell ref="A55:G55"/>
    <mergeCell ref="A50:G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7" t="inlineStr">
        <is>
          <t>HOW TO USE THIS RISK REGISTER</t>
        </is>
      </c>
      <c r="B1" s="18" t="inlineStr"/>
    </row>
    <row r="2" ht="14" customHeight="1">
      <c r="A2" s="19" t="inlineStr"/>
      <c r="B2" s="20" t="inlineStr"/>
    </row>
    <row r="3" ht="20" customHeight="1">
      <c r="A3" s="21" t="inlineStr">
        <is>
          <t>STEP 1</t>
        </is>
      </c>
      <c r="B3" s="22" t="inlineStr">
        <is>
          <t>Complete the Risk Assessment Checklist (Document 2)</t>
        </is>
      </c>
    </row>
    <row r="4" ht="20" customHeight="1">
      <c r="A4" s="19" t="inlineStr">
        <is>
          <t>STEP 2</t>
        </is>
      </c>
      <c r="B4" s="20" t="inlineStr">
        <is>
          <t>For every NO or UNSURE answer, add a row to this register</t>
        </is>
      </c>
    </row>
    <row r="5" ht="20" customHeight="1">
      <c r="A5" s="21" t="inlineStr">
        <is>
          <t>STEP 3</t>
        </is>
      </c>
      <c r="B5" s="22" t="inlineStr">
        <is>
          <t>Rate Likelihood (1=Rare, 5=Almost Certain) and Impact (1=Minimal, 5=Catastrophic)</t>
        </is>
      </c>
    </row>
    <row r="6" ht="20" customHeight="1">
      <c r="A6" s="19" t="inlineStr">
        <is>
          <t>STEP 4</t>
        </is>
      </c>
      <c r="B6" s="20" t="inlineStr">
        <is>
          <t>Risk Score and Risk Level calculate automatically</t>
        </is>
      </c>
    </row>
    <row r="7" ht="20" customHeight="1">
      <c r="A7" s="21" t="inlineStr">
        <is>
          <t>STEP 5</t>
        </is>
      </c>
      <c r="B7" s="22" t="inlineStr">
        <is>
          <t>Assign an Owner and Target Date for each risk</t>
        </is>
      </c>
    </row>
    <row r="8" ht="20" customHeight="1">
      <c r="A8" s="19" t="inlineStr">
        <is>
          <t>STEP 6</t>
        </is>
      </c>
      <c r="B8" s="20" t="inlineStr">
        <is>
          <t>Update Status to Closed when a risk is remediated</t>
        </is>
      </c>
    </row>
    <row r="9" ht="10" customHeight="1">
      <c r="A9" s="19" t="inlineStr"/>
      <c r="B9" s="20" t="inlineStr"/>
    </row>
    <row r="10" ht="26" customHeight="1">
      <c r="A10" s="23" t="inlineStr">
        <is>
          <t>RISK SCORE GUIDE</t>
        </is>
      </c>
      <c r="B10" s="24" t="inlineStr"/>
    </row>
    <row r="11" ht="20" customHeight="1">
      <c r="A11" s="25" t="inlineStr">
        <is>
          <t>CRITICAL (20-25)</t>
        </is>
      </c>
      <c r="B11" s="26" t="inlineStr">
        <is>
          <t>Act within 30 days — immediate breach exposure</t>
        </is>
      </c>
    </row>
    <row r="12" ht="20" customHeight="1">
      <c r="A12" s="27" t="inlineStr">
        <is>
          <t>HIGH (12-19)</t>
        </is>
      </c>
      <c r="B12" s="28" t="inlineStr">
        <is>
          <t>Act within 60 days — significant security gaps</t>
        </is>
      </c>
    </row>
    <row r="13" ht="20" customHeight="1">
      <c r="A13" s="29" t="inlineStr">
        <is>
          <t>MEDIUM (6-11)</t>
        </is>
      </c>
      <c r="B13" s="30" t="inlineStr">
        <is>
          <t>Act within 90 days — notable vulnerabilities</t>
        </is>
      </c>
    </row>
    <row r="14" ht="20" customHeight="1">
      <c r="A14" s="31" t="inlineStr">
        <is>
          <t>LOW (1-5)</t>
        </is>
      </c>
      <c r="B14" s="32" t="inlineStr">
        <is>
          <t>Monitor and address in routine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2026-05-12T00:52:48Z</dcterms:created>
  <dcterms:modified xmlns:dcterms="http://purl.org/dc/terms/" xmlns:xsi="http://www.w3.org/2001/XMLSchema-instance" xsi:type="dcterms:W3CDTF">2026-05-12T00:52:48Z</dcterms:modified>
</cp:coreProperties>
</file>